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README" sheetId="1" r:id="rId4"/>
    <sheet state="visible" name="02_Summary" sheetId="2" r:id="rId5"/>
    <sheet state="visible" name="10_Wallet_Setup" sheetId="3" r:id="rId6"/>
    <sheet state="visible" name="20_Backup_Recovery" sheetId="4" r:id="rId7"/>
    <sheet state="visible" name="30_Security_Access" sheetId="5" r:id="rId8"/>
    <sheet state="visible" name="40_Assets_Networks" sheetId="6" r:id="rId9"/>
    <sheet state="visible" name="50_Send_Receive" sheetId="7" r:id="rId10"/>
    <sheet state="visible" name="60_DApp_Signing" sheetId="8" r:id="rId11"/>
    <sheet state="visible" name="70_E2E" sheetId="9" r:id="rId12"/>
  </sheets>
  <definedNames/>
  <calcPr/>
  <extLst>
    <ext uri="GoogleSheetsCustomDataVersion2">
      <go:sheetsCustomData xmlns:go="http://customooxmlschemas.google.com/" r:id="rId13" roundtripDataChecksum="bnxqAzTBk9XICjSlvcEz7Yi+MsJ9INgzO41CS+3uB/Q="/>
    </ext>
  </extLst>
</workbook>
</file>

<file path=xl/sharedStrings.xml><?xml version="1.0" encoding="utf-8"?>
<sst xmlns="http://schemas.openxmlformats.org/spreadsheetml/2006/main" count="639" uniqueCount="371">
  <si>
    <t>Binance Web3 Wallet — QA Manual Test Pack</t>
  </si>
  <si>
    <t>Purpose</t>
  </si>
  <si>
    <t>Structured manual test cases for Binance Web3 Wallet / keyless wallet flows, focused on wallet creation, backup &amp; restore, security, assets/networks, send/receive, dApp connection, and transaction signing.</t>
  </si>
  <si>
    <t>Role Alignment</t>
  </si>
  <si>
    <t>Designed to reflect Senior QA Engineer - Web3 Wallet expectations: backend-aware QA thinking, defect analysis, functional investigation, and high-risk transaction validation.</t>
  </si>
  <si>
    <t>Coverage</t>
  </si>
  <si>
    <t>Wallet setup, MPC / backup / recovery, single-device access, send/receive tokens, network selection, failed transaction gas handling, dApp connection, and signing approval/rejection flows.</t>
  </si>
  <si>
    <t>Execution</t>
  </si>
  <si>
    <t>Use module sheets to record Actual Result, Status, Tested By, Test Date, and Defect ID / Notes. Summary sheet auto-calculates execution and pass metrics.</t>
  </si>
  <si>
    <t>Source 1</t>
  </si>
  <si>
    <t>https://www.binance.com/en/web3wallet</t>
  </si>
  <si>
    <t>Source 2</t>
  </si>
  <si>
    <t>https://www.binance.com/en/support/faq/detail/5a3fc86a702b43e1a4a398ebd8853b77</t>
  </si>
  <si>
    <t>Source 3</t>
  </si>
  <si>
    <t>https://www.binance.com/en/support/faq/detail/4efebcb9a937417ca31baa2f7754c50f</t>
  </si>
  <si>
    <t>Source 4</t>
  </si>
  <si>
    <t>https://www.binance.com/en/support/faq/detail/53521dedad474c908ec3761a935cb8d6</t>
  </si>
  <si>
    <t>Source 5</t>
  </si>
  <si>
    <t>https://www.binance.com/en/support/faq/detail/02f7eb872eca4a1ea44c775767170d13</t>
  </si>
  <si>
    <t>Execution Summary &amp; Pass/Fail Tracking</t>
  </si>
  <si>
    <t>Quick KPIs</t>
  </si>
  <si>
    <t>Module Sheet</t>
  </si>
  <si>
    <t>Module</t>
  </si>
  <si>
    <t>Total Cases</t>
  </si>
  <si>
    <t>Pass</t>
  </si>
  <si>
    <t>Fail</t>
  </si>
  <si>
    <t>Blocked</t>
  </si>
  <si>
    <t>Not Run</t>
  </si>
  <si>
    <t>Executed</t>
  </si>
  <si>
    <t>Execution %</t>
  </si>
  <si>
    <t>Pass %</t>
  </si>
  <si>
    <t>10_Wallet_Setup</t>
  </si>
  <si>
    <t>Wallet Setup</t>
  </si>
  <si>
    <t>20_Backup_Recovery</t>
  </si>
  <si>
    <t>Backup &amp; Recovery</t>
  </si>
  <si>
    <t>30_Security_Access</t>
  </si>
  <si>
    <t>Security &amp; Access</t>
  </si>
  <si>
    <t>40_Assets_Networks</t>
  </si>
  <si>
    <t>Assets &amp; Networks</t>
  </si>
  <si>
    <t>50_Send_Receive</t>
  </si>
  <si>
    <t>Send &amp; Receive</t>
  </si>
  <si>
    <t>60_DApp_Signing</t>
  </si>
  <si>
    <t>dApp Connection &amp; Signing</t>
  </si>
  <si>
    <t>70_E2E</t>
  </si>
  <si>
    <t>End-to-End Web3 Wallet</t>
  </si>
  <si>
    <t>TOTAL</t>
  </si>
  <si>
    <t>All Modules</t>
  </si>
  <si>
    <t xml:space="preserve">Wallet Setup — Manual Test Cases </t>
  </si>
  <si>
    <t>Test Case ID</t>
  </si>
  <si>
    <t>Submodule</t>
  </si>
  <si>
    <t>Scenario / Title</t>
  </si>
  <si>
    <t>Preconditions</t>
  </si>
  <si>
    <t>Test Steps</t>
  </si>
  <si>
    <t>Test Data</t>
  </si>
  <si>
    <t>Expected Result</t>
  </si>
  <si>
    <t>Priority</t>
  </si>
  <si>
    <t>Type</t>
  </si>
  <si>
    <t>Actual Result</t>
  </si>
  <si>
    <t>Status</t>
  </si>
  <si>
    <t>Tested By</t>
  </si>
  <si>
    <t>Test Date</t>
  </si>
  <si>
    <t>Defect ID / Notes</t>
  </si>
  <si>
    <t>WAL-001</t>
  </si>
  <si>
    <t>Create keyless wallet</t>
  </si>
  <si>
    <t>User can create a new Binance keyless wallet from supported app flow</t>
  </si>
  <si>
    <t>User is logged in to Binance app and has access to Web3 Wallet entry point</t>
  </si>
  <si>
    <t>1. Open Binance app
2. Navigate to Web3 Wallet
3. Start wallet creation
4. Confirm backup prompt or setup flow</t>
  </si>
  <si>
    <t>Valid logged-in account</t>
  </si>
  <si>
    <t>Wallet is created successfully and wallet home / assets view is displayed</t>
  </si>
  <si>
    <t>High</t>
  </si>
  <si>
    <t>Positive</t>
  </si>
  <si>
    <t>WAL-002</t>
  </si>
  <si>
    <t>MPC initialization</t>
  </si>
  <si>
    <t>Wallet creation generates required security setup and backup prompts</t>
  </si>
  <si>
    <t>User starts first-time wallet creation</t>
  </si>
  <si>
    <t>1. Start wallet creation
2. Review recovery password / backup steps
3. Proceed through setup</t>
  </si>
  <si>
    <t>New wallet creation flow</t>
  </si>
  <si>
    <t>System requires security setup before wallet is marked ready for use</t>
  </si>
  <si>
    <t>WAL-003</t>
  </si>
  <si>
    <t>Recovery password policy</t>
  </si>
  <si>
    <t>System rejects weak or non-compliant recovery password during setup</t>
  </si>
  <si>
    <t>User is at recovery password step</t>
  </si>
  <si>
    <t>1. Enter weak recovery password
2. Confirm password
3. Submit</t>
  </si>
  <si>
    <t>Weak recovery password</t>
  </si>
  <si>
    <t>Validation message is shown and wallet setup cannot continue until policy is met</t>
  </si>
  <si>
    <t>Negative</t>
  </si>
  <si>
    <t>WAL-004</t>
  </si>
  <si>
    <t>Passkey / biometric confirmation</t>
  </si>
  <si>
    <t>Wallet creation respects device-level confirmation requirements when enabled</t>
  </si>
  <si>
    <t>Supported device security is configured</t>
  </si>
  <si>
    <t>1. Start wallet creation
2. Trigger passkey / biometric confirmation
3. Approve request</t>
  </si>
  <si>
    <t>Valid biometric / passkey</t>
  </si>
  <si>
    <t>Wallet setup continues only after successful local device confirmation</t>
  </si>
  <si>
    <t>Medium</t>
  </si>
  <si>
    <t>WAL-005</t>
  </si>
  <si>
    <t>Flow interruption</t>
  </si>
  <si>
    <t>User can safely resume or restart wallet setup after interruption before completion</t>
  </si>
  <si>
    <t>User exits app during setup before completion</t>
  </si>
  <si>
    <t>1. Begin wallet setup
2. Close app before final confirmation
3. Reopen app
4. Return to wallet flow</t>
  </si>
  <si>
    <t>Interrupted setup</t>
  </si>
  <si>
    <t>System either resumes safely or restarts cleanly without creating duplicate / corrupted wallet state</t>
  </si>
  <si>
    <t>WAL-006</t>
  </si>
  <si>
    <t>Unsupported entry state</t>
  </si>
  <si>
    <t>System shows controlled error when wallet setup prerequisites are missing or app version is unsupported</t>
  </si>
  <si>
    <t>Use outdated app or unsupported environment</t>
  </si>
  <si>
    <t>1. Attempt to access wallet creation from unsupported environment
2. Observe response</t>
  </si>
  <si>
    <t>Outdated app / unsupported build</t>
  </si>
  <si>
    <t>System shows clear blocking message instead of broken or partial setup flow</t>
  </si>
  <si>
    <t xml:space="preserve">Backup &amp; Recovery — Manual Test Cases </t>
  </si>
  <si>
    <t>BKP-001</t>
  </si>
  <si>
    <t>Cloud backup</t>
  </si>
  <si>
    <t>User can back up wallet using supported backup method</t>
  </si>
  <si>
    <t>Wallet already exists and user is authenticated</t>
  </si>
  <si>
    <t>1. Open Wallet Management
2. Tap Backup Management
3. Select supported backup option
4. Complete backup flow</t>
  </si>
  <si>
    <t>Valid cloud storage access / password</t>
  </si>
  <si>
    <t>Backup completes successfully and wallet shows protected / backed-up status</t>
  </si>
  <si>
    <t>BKP-002</t>
  </si>
  <si>
    <t>Backup again</t>
  </si>
  <si>
    <t>User can generate a new backup using Back Up Again without damaging existing wallet access</t>
  </si>
  <si>
    <t>Wallet already exists and has prior backup</t>
  </si>
  <si>
    <t>1. Open Backup Management
2. Choose Back Up Again
3. Complete new backup flow</t>
  </si>
  <si>
    <t>Existing wallet with prior backup</t>
  </si>
  <si>
    <t>New backup is created successfully and wallet remains accessible</t>
  </si>
  <si>
    <t>BKP-003</t>
  </si>
  <si>
    <t>Restore on new device</t>
  </si>
  <si>
    <t>User can restore wallet on a new device using cloud service and recovery password</t>
  </si>
  <si>
    <t>Wallet was previously backed up and user has correct recovery password</t>
  </si>
  <si>
    <t>1. Install Binance app on new device
2. Log in
3. Choose restore wallet
4. Connect to same cloud service
5. Enter recovery password</t>
  </si>
  <si>
    <t>Valid cloud account and recovery password</t>
  </si>
  <si>
    <t>Wallet is restored successfully on new device and assets / settings are recoverable</t>
  </si>
  <si>
    <t>BKP-004</t>
  </si>
  <si>
    <t>Wrong recovery password</t>
  </si>
  <si>
    <t>System blocks restore with incorrect recovery password</t>
  </si>
  <si>
    <t>Wallet backup exists on cloud</t>
  </si>
  <si>
    <t>1. Start restore flow
2. Enter incorrect recovery password
3. Submit</t>
  </si>
  <si>
    <t>Incorrect recovery password</t>
  </si>
  <si>
    <t>Restore fails securely with clear message and no wallet access is granted</t>
  </si>
  <si>
    <t>BKP-005</t>
  </si>
  <si>
    <t>Single-device access</t>
  </si>
  <si>
    <t>Restoring wallet on a new device enforces single-device login behavior</t>
  </si>
  <si>
    <t>Wallet already active on old device</t>
  </si>
  <si>
    <t>1. Restore wallet on new device
2. Try opening or using wallet on old device</t>
  </si>
  <si>
    <t>Restored wallet on new device</t>
  </si>
  <si>
    <t>Old device access is invalidated or blocked per single-device policy</t>
  </si>
  <si>
    <t>BKP-006</t>
  </si>
  <si>
    <t>Missing backup dependency</t>
  </si>
  <si>
    <t>System handles missing cloud account / revoked storage permission during restore</t>
  </si>
  <si>
    <t>User begins restore without valid cloud access</t>
  </si>
  <si>
    <t>1. Start restore flow
2. Disconnect cloud account or deny access
3. Continue</t>
  </si>
  <si>
    <t>No cloud access</t>
  </si>
  <si>
    <t>System shows controlled error and restore cannot proceed until backup dependency is restored</t>
  </si>
  <si>
    <t>BKP-007</t>
  </si>
  <si>
    <t>Recovery data integrity</t>
  </si>
  <si>
    <t>Backup artifacts cannot be reused with altered or corrupted recovery data</t>
  </si>
  <si>
    <t>Corrupted backup test data is available</t>
  </si>
  <si>
    <t>1. Initiate restore using corrupted or mismatched backup data
2. Continue restore</t>
  </si>
  <si>
    <t>Corrupted backup artifact</t>
  </si>
  <si>
    <t>System rejects invalid backup artifact and keeps wallet inaccessible</t>
  </si>
  <si>
    <t>Security &amp; Access — Manual Test Cases</t>
  </si>
  <si>
    <t>SEC-001</t>
  </si>
  <si>
    <t>Wallet lock</t>
  </si>
  <si>
    <t>Wallet requires app/device authentication before exposing sensitive wallet actions</t>
  </si>
  <si>
    <t>Wallet exists and app lock is enabled</t>
  </si>
  <si>
    <t>1. Open wallet
2. Attempt Send / Backup Management / other sensitive action</t>
  </si>
  <si>
    <t>Authenticated user with lock enabled</t>
  </si>
  <si>
    <t>Sensitive wallet action requires configured device authentication before proceeding</t>
  </si>
  <si>
    <t>SEC-002</t>
  </si>
  <si>
    <t>Session timeout</t>
  </si>
  <si>
    <t>Wallet returns to protected state after idle session timeout or app backgrounding</t>
  </si>
  <si>
    <t>Wallet exists and user opens wallet successfully</t>
  </si>
  <si>
    <t>1. Access wallet
2. Leave app idle or move app to background
3. Return and attempt sensitive action</t>
  </si>
  <si>
    <t>Idle session</t>
  </si>
  <si>
    <t>System requests re-authentication based on security policy</t>
  </si>
  <si>
    <t>SEC-003</t>
  </si>
  <si>
    <t>Unauthorized device</t>
  </si>
  <si>
    <t>Wallet access is blocked on untrusted device state such as rooted / jailbroken or unsupported security environment</t>
  </si>
  <si>
    <t>Security policy test environment available</t>
  </si>
  <si>
    <t>1. Launch wallet in insecure environment
2. Attempt sensitive workflow</t>
  </si>
  <si>
    <t>Insecure device state</t>
  </si>
  <si>
    <t>System warns or blocks high-risk wallet operations according to security policy</t>
  </si>
  <si>
    <t>SEC-004</t>
  </si>
  <si>
    <t>Recovery password confidentiality</t>
  </si>
  <si>
    <t>Recovery password is never displayed in plain text after setup and is not recoverable from wallet UI</t>
  </si>
  <si>
    <t>Wallet already configured</t>
  </si>
  <si>
    <t>1. Navigate wallet settings
2. Search for recovery password display options</t>
  </si>
  <si>
    <t>Configured wallet</t>
  </si>
  <si>
    <t>UI never reveals stored recovery password in plain text</t>
  </si>
  <si>
    <t>SEC-005</t>
  </si>
  <si>
    <t>Brute-force resistance</t>
  </si>
  <si>
    <t>Repeated wrong recovery or confirmation attempts are rate-limited or handled safely</t>
  </si>
  <si>
    <t>Wallet restore or protected action is available</t>
  </si>
  <si>
    <t>1. Enter wrong secret multiple times
2. Observe error handling</t>
  </si>
  <si>
    <t>Repeated invalid attempts</t>
  </si>
  <si>
    <t>System throttles, blocks, or otherwise handles repeated failures without exposing sensitive data</t>
  </si>
  <si>
    <t>SEC-006</t>
  </si>
  <si>
    <t>Auditability of failure</t>
  </si>
  <si>
    <t>Protected action failure returns actionable but non-sensitive error information for investigation</t>
  </si>
  <si>
    <t>Wallet action fails due to auth issue</t>
  </si>
  <si>
    <t>1. Trigger authentication failure
2. Observe UI / logs / error payload if available</t>
  </si>
  <si>
    <t>Expired or invalid auth context</t>
  </si>
  <si>
    <t>Error message is actionable for QA/support but does not leak sensitive wallet material</t>
  </si>
  <si>
    <t xml:space="preserve">Assets &amp; Networks — Manual Test Cases </t>
  </si>
  <si>
    <t>AST-001</t>
  </si>
  <si>
    <t>Asset visibility</t>
  </si>
  <si>
    <t>Supported wallet assets display correctly after wallet creation or funding</t>
  </si>
  <si>
    <t>Wallet exists and has funded assets or test balances</t>
  </si>
  <si>
    <t>1. Open wallet assets page
2. Review token list and balances</t>
  </si>
  <si>
    <t>Wallet with known token balances</t>
  </si>
  <si>
    <t>Asset names, symbols, balances, and networks are displayed accurately</t>
  </si>
  <si>
    <t>AST-002</t>
  </si>
  <si>
    <t>Receive address</t>
  </si>
  <si>
    <t>User can view and copy receive address for selected token/network</t>
  </si>
  <si>
    <t>Wallet exists</t>
  </si>
  <si>
    <t>1. Tap Receive
2. Select token and network
3. Copy or display address / QR</t>
  </si>
  <si>
    <t>Supported token and network</t>
  </si>
  <si>
    <t>System shows correct receive address / QR for selected network</t>
  </si>
  <si>
    <t>AST-003</t>
  </si>
  <si>
    <t>Network mismatch prevention</t>
  </si>
  <si>
    <t>System warns when user selects incompatible token/network combination for receive guidance</t>
  </si>
  <si>
    <t>1. Open Receive
2. Change token / network combination to unsupported mapping if possible</t>
  </si>
  <si>
    <t>Unsupported token/network mapping</t>
  </si>
  <si>
    <t>System blocks or warns against incompatible network usage</t>
  </si>
  <si>
    <t>AST-004</t>
  </si>
  <si>
    <t>Precision display</t>
  </si>
  <si>
    <t>Wallet displays token balances and fiat equivalents with correct precision and rounding rules</t>
  </si>
  <si>
    <t>Wallet contains tokens with many decimals</t>
  </si>
  <si>
    <t>1. Open assets page
2. Compare displayed value with source data</t>
  </si>
  <si>
    <t>High-precision token balance</t>
  </si>
  <si>
    <t>Displayed balances are rounded correctly without losing material accuracy</t>
  </si>
  <si>
    <t>AST-005</t>
  </si>
  <si>
    <t>Refresh / sync</t>
  </si>
  <si>
    <t>Wallet refresh updates balances after on-chain change without stale duplicated entries</t>
  </si>
  <si>
    <t>Wallet balance changes externally</t>
  </si>
  <si>
    <t>1. Trigger external inbound transfer or mock balance change
2. Refresh wallet</t>
  </si>
  <si>
    <t>Known balance delta</t>
  </si>
  <si>
    <t>Updated balances appear correctly and stale values clear</t>
  </si>
  <si>
    <t>AST-006</t>
  </si>
  <si>
    <t>Unknown / unsupported token handling</t>
  </si>
  <si>
    <t>Wallet handles unsupported token or hidden token gracefully</t>
  </si>
  <si>
    <t>Unsupported token interaction path is available</t>
  </si>
  <si>
    <t>1. Attempt to view or import unsupported token
2. Observe response</t>
  </si>
  <si>
    <t>Unsupported token</t>
  </si>
  <si>
    <t>System handles case gracefully without crash or misleading balance display</t>
  </si>
  <si>
    <t>Send &amp; Receive — Manual Test Cases</t>
  </si>
  <si>
    <t>TXN-001</t>
  </si>
  <si>
    <t>Successful send</t>
  </si>
  <si>
    <t>User can send supported token to valid address on matching network</t>
  </si>
  <si>
    <t>Wallet has enough token balance and gas balance</t>
  </si>
  <si>
    <t>1. Tap Send
2. Select token and network
3. Enter valid recipient address
4. Enter amount
5. Confirm transaction</t>
  </si>
  <si>
    <t>Valid recipient, sufficient balance</t>
  </si>
  <si>
    <t>Transaction is submitted successfully and pending / confirmed state is visible</t>
  </si>
  <si>
    <t>TXN-002</t>
  </si>
  <si>
    <t>Send to Binance deposit address</t>
  </si>
  <si>
    <t>User can send token from wallet to Binance Exchange deposit address</t>
  </si>
  <si>
    <t>Wallet has sufficient token and gas balance</t>
  </si>
  <si>
    <t>1. Tap Send
2. Select token / network
3. Choose Binance Deposit Address
4. Confirm amount and submit</t>
  </si>
  <si>
    <t>Valid exchange deposit address</t>
  </si>
  <si>
    <t>Transaction submits successfully and appears in wallet history</t>
  </si>
  <si>
    <t>TXN-003</t>
  </si>
  <si>
    <t>Invalid address</t>
  </si>
  <si>
    <t>System rejects malformed or clearly invalid recipient address</t>
  </si>
  <si>
    <t>Wallet has token balance</t>
  </si>
  <si>
    <t>1. Start Send
2. Enter malformed address
3. Continue</t>
  </si>
  <si>
    <t>Malformed wallet address</t>
  </si>
  <si>
    <t>Validation error is shown and submission is blocked</t>
  </si>
  <si>
    <t>TXN-004</t>
  </si>
  <si>
    <t>Insufficient balance</t>
  </si>
  <si>
    <t>System prevents send when token amount or gas balance is insufficient</t>
  </si>
  <si>
    <t>Wallet has low balance</t>
  </si>
  <si>
    <t>1. Start Send
2. Enter amount above available balance or without enough gas
3. Continue</t>
  </si>
  <si>
    <t>Amount &gt; available balance</t>
  </si>
  <si>
    <t>Send is blocked with clear insufficient-balance message</t>
  </si>
  <si>
    <t>TXN-005</t>
  </si>
  <si>
    <t>Failed on-chain execution</t>
  </si>
  <si>
    <t>Failed transaction is reflected correctly and gas fee behavior is handled per network rule</t>
  </si>
  <si>
    <t>Wallet submits transaction expected to fail on-chain</t>
  </si>
  <si>
    <t>1. Submit transaction that fails on-chain
2. Monitor status and fees</t>
  </si>
  <si>
    <t>Failure-inducing transaction</t>
  </si>
  <si>
    <t>Wallet shows failed status; if transaction executed but failed, gas fee is still charged</t>
  </si>
  <si>
    <t>TXN-006</t>
  </si>
  <si>
    <t>Duplicate submission prevention</t>
  </si>
  <si>
    <t>System prevents accidental duplicate send caused by rapid repeated confirmation</t>
  </si>
  <si>
    <t>Wallet is on final confirmation page</t>
  </si>
  <si>
    <t>1. Tap confirm multiple times quickly
2. Observe submission count</t>
  </si>
  <si>
    <t>Rapid repeated taps</t>
  </si>
  <si>
    <t>Only one transaction is submitted or duplicates are clearly prevented</t>
  </si>
  <si>
    <t>TXN-007</t>
  </si>
  <si>
    <t>Receive confirmation</t>
  </si>
  <si>
    <t>Inbound transfer to displayed address is credited and shown in history after network confirmation</t>
  </si>
  <si>
    <t>Wallet receive address is known</t>
  </si>
  <si>
    <t>1. Send supported token from external source
2. Wait for confirmation
3. Refresh wallet</t>
  </si>
  <si>
    <t>Valid inbound transfer</t>
  </si>
  <si>
    <t>Balance and history update correctly after required confirmations</t>
  </si>
  <si>
    <t xml:space="preserve">dApp Connection &amp; Signing — Manual Test Cases </t>
  </si>
  <si>
    <t>DAP-001</t>
  </si>
  <si>
    <t>Connect to supported dApp</t>
  </si>
  <si>
    <t>User can connect wallet to supported dApp from Web3 flow</t>
  </si>
  <si>
    <t>Wallet exists and dApp is reachable</t>
  </si>
  <si>
    <t>1. Open supported dApp
2. Select Connect Wallet
3. Choose Binance Wallet
4. Approve connection</t>
  </si>
  <si>
    <t>Supported dApp</t>
  </si>
  <si>
    <t>Wallet connects successfully and dApp reflects connected account</t>
  </si>
  <si>
    <t>DAP-002</t>
  </si>
  <si>
    <t>Reject wallet connection</t>
  </si>
  <si>
    <t>User can reject wallet connection request without side effects</t>
  </si>
  <si>
    <t>Wallet exists and dApp prompts connection</t>
  </si>
  <si>
    <t>1. Trigger wallet connection request
2. Reject request</t>
  </si>
  <si>
    <t>Connection request</t>
  </si>
  <si>
    <t>dApp remains disconnected and wallet state is unchanged</t>
  </si>
  <si>
    <t>DAP-003</t>
  </si>
  <si>
    <t>Transaction signing approval</t>
  </si>
  <si>
    <t>User can review and approve transaction signing request from dApp</t>
  </si>
  <si>
    <t>Wallet connected to dApp with valid transaction request</t>
  </si>
  <si>
    <t>1. Initiate dApp transaction
2. Review transaction details
3. Approve signing</t>
  </si>
  <si>
    <t>Valid transaction request</t>
  </si>
  <si>
    <t>Signing request shows essential details and approved transaction proceeds to submission</t>
  </si>
  <si>
    <t>DAP-004</t>
  </si>
  <si>
    <t>Transaction signing rejection</t>
  </si>
  <si>
    <t>User can reject dApp signing request safely</t>
  </si>
  <si>
    <t>Wallet connected to dApp</t>
  </si>
  <si>
    <t>1. Initiate dApp transaction
2. Reject signing prompt</t>
  </si>
  <si>
    <t>Transaction is not sent and dApp receives rejection / cancellation response</t>
  </si>
  <si>
    <t>DAP-005</t>
  </si>
  <si>
    <t>Opaque contract warning</t>
  </si>
  <si>
    <t>Wallet warns or at least presents readable details when signing high-risk or opaque contract interactions</t>
  </si>
  <si>
    <t>Wallet connected to dApp issuing complex contract request</t>
  </si>
  <si>
    <t>1. Trigger complex contract interaction
2. Review signing prompt</t>
  </si>
  <si>
    <t>Contract call request</t>
  </si>
  <si>
    <t>Prompt provides enough detail or warning for informed user decision</t>
  </si>
  <si>
    <t>DAP-006</t>
  </si>
  <si>
    <t>Disconnect dApp</t>
  </si>
  <si>
    <t>User can disconnect wallet from previously connected dApp</t>
  </si>
  <si>
    <t>Wallet has active dApp connection</t>
  </si>
  <si>
    <t>1. Open connected dApp or wallet session management
2. Disconnect wallet</t>
  </si>
  <si>
    <t>Active dApp connection</t>
  </si>
  <si>
    <t>Connection is removed and further dApp actions require reconnection</t>
  </si>
  <si>
    <t xml:space="preserve">End-to-End Web3 Wallet Scenarios — Manual Test Cases </t>
  </si>
  <si>
    <t>E2E-001</t>
  </si>
  <si>
    <t>E2E Scenarios</t>
  </si>
  <si>
    <t>Create and receive</t>
  </si>
  <si>
    <t>Create wallet, complete backup, obtain receive address, and receive inbound token successfully</t>
  </si>
  <si>
    <t>Clean user account with supported app/device</t>
  </si>
  <si>
    <t>1. Create wallet
2. Complete backup
3. Open Receive
4. Select token/network
5. Send inbound test transfer
6. Refresh and verify balance/history</t>
  </si>
  <si>
    <t>Valid test token transfer</t>
  </si>
  <si>
    <t>User can complete full setup-to-receive journey successfully</t>
  </si>
  <si>
    <t>E2E-002</t>
  </si>
  <si>
    <t>Create and send</t>
  </si>
  <si>
    <t>Create wallet, fund wallet, and send token to valid external address</t>
  </si>
  <si>
    <t>Clean account and funded wallet</t>
  </si>
  <si>
    <t>1. Create wallet
2. Complete backup
3. Fund wallet
4. Start Send
5. Enter valid address and amount
6. Confirm transaction</t>
  </si>
  <si>
    <t>Valid recipient and sufficient balances</t>
  </si>
  <si>
    <t>End-to-end send transaction completes and history/status are accurate</t>
  </si>
  <si>
    <t>E2E-003</t>
  </si>
  <si>
    <t>Restore and continue activity</t>
  </si>
  <si>
    <t>Restore wallet on new device and continue wallet activity with old device blocked</t>
  </si>
  <si>
    <t>Wallet exists with backup and funds</t>
  </si>
  <si>
    <t>1. Restore wallet on new device
2. Verify old device access policy
3. Open wallet on new device
4. Perform receive or send action</t>
  </si>
  <si>
    <t>Valid restore credentials</t>
  </si>
  <si>
    <t>Wallet restores correctly, old device is blocked per policy, and user can continue activity on new device</t>
  </si>
  <si>
    <t>E2E-004</t>
  </si>
  <si>
    <t>dApp interaction</t>
  </si>
  <si>
    <t>Connect wallet to dApp and approve transaction with correct wallet updates</t>
  </si>
  <si>
    <t>Wallet exists and supported dApp available</t>
  </si>
  <si>
    <t>1. Connect wallet to dApp
2. Initiate transaction
3. Review details
4. Approve signing
5. Verify wallet history / asset change</t>
  </si>
  <si>
    <t>Supported dApp transaction</t>
  </si>
  <si>
    <t>dApp flow completes and resulting wallet state matches transaction outcome</t>
  </si>
  <si>
    <t>E2E-005</t>
  </si>
  <si>
    <t>Failure handling</t>
  </si>
  <si>
    <t>System safely handles failed transaction, preserves access, and reports correct status and fee impact</t>
  </si>
  <si>
    <t>Wallet has funds and failure scenario available</t>
  </si>
  <si>
    <t>1. Submit transaction expected to fail
2. Observe status
3. Verify fee and balances
4. Retry with corrected input</t>
  </si>
  <si>
    <t>Failed status is visible, fee handling is accurate, wallet remains usable, and corrected retry can proceed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</si>
</sst>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-mm-dd"/>
  </numFmts>
  <fonts count="11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0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sz val="11.0"/>
      <color rgb="FF000000"/>
      <name val="Calibri"/>
      <scheme val="minor"/>
    </font>
    <font>
      <sz val="10.0"/>
      <color rgb="FF000000"/>
      <name val="Calibri"/>
      <scheme val="minor"/>
    </font>
    <font>
      <b/>
      <color theme="1"/>
      <name val="Calibri"/>
      <scheme val="minor"/>
    </font>
    <font>
      <sz val="10.0"/>
      <color theme="1"/>
      <name val="Calibri"/>
      <scheme val="minor"/>
    </font>
    <font>
      <sz val="10.0"/>
      <color rgb="FF0000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3F4F6"/>
        <bgColor rgb="FFF3F4F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0" fillId="0" fontId="4" numFmtId="0" xfId="0" applyAlignment="1" applyFont="1">
      <alignment shrinkToFit="0" vertical="top" wrapText="1"/>
    </xf>
    <xf borderId="1" fillId="2" fontId="1" numFmtId="0" xfId="0" applyBorder="1" applyFont="1"/>
    <xf borderId="0" fillId="0" fontId="5" numFmtId="0" xfId="0" applyFont="1"/>
    <xf borderId="5" fillId="3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3" numFmtId="0" xfId="0" applyFont="1"/>
    <xf borderId="4" fillId="4" fontId="4" numFmtId="0" xfId="0" applyBorder="1" applyFill="1" applyFont="1"/>
    <xf borderId="4" fillId="4" fontId="4" numFmtId="164" xfId="0" applyBorder="1" applyFont="1" applyNumberFormat="1"/>
    <xf borderId="4" fillId="5" fontId="8" numFmtId="0" xfId="0" applyAlignment="1" applyBorder="1" applyFill="1" applyFont="1">
      <alignment horizontal="center"/>
    </xf>
    <xf borderId="4" fillId="5" fontId="8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left" readingOrder="0" vertical="center"/>
    </xf>
    <xf borderId="0" fillId="0" fontId="3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4" fillId="6" fontId="10" numFmtId="0" xfId="0" applyAlignment="1" applyBorder="1" applyFill="1" applyFont="1">
      <alignment shrinkToFit="0" vertical="top" wrapText="1"/>
    </xf>
    <xf borderId="0" fillId="0" fontId="10" numFmtId="165" xfId="0" applyAlignment="1" applyFont="1" applyNumberFormat="1">
      <alignment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3F4F6"/>
          <bgColor rgb="FFF3F4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Pass/Fail/Blocked by Module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None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'02_Summary'!$B$4:$B$9</c:f>
            </c:strRef>
          </c:cat>
          <c:val>
            <c:numRef>
              <c:f>'02_Summary'!$D$4:$D$9</c:f>
              <c:numCache/>
            </c:numRef>
          </c:val>
        </c:ser>
        <c:ser>
          <c:idx val="1"/>
          <c:order val="1"/>
          <c:tx>
            <c:v>None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'02_Summary'!$B$4:$B$9</c:f>
            </c:strRef>
          </c:cat>
          <c:val>
            <c:numRef>
              <c:f>'02_Summary'!$E$4:$E$9</c:f>
              <c:numCache/>
            </c:numRef>
          </c:val>
        </c:ser>
        <c:ser>
          <c:idx val="2"/>
          <c:order val="2"/>
          <c:tx>
            <c:v>None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'02_Summary'!$B$4:$B$9</c:f>
            </c:strRef>
          </c:cat>
          <c:val>
            <c:numRef>
              <c:f>'02_Summary'!$F$4:$F$9</c:f>
              <c:numCache/>
            </c:numRef>
          </c:val>
        </c:ser>
        <c:axId val="740090834"/>
        <c:axId val="862609211"/>
      </c:barChart>
      <c:catAx>
        <c:axId val="740090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Module</a:t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609211"/>
      </c:catAx>
      <c:valAx>
        <c:axId val="8626092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090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12</xdr:row>
      <xdr:rowOff>0</xdr:rowOff>
    </xdr:from>
    <xdr:ext cx="0" cy="0"/>
    <xdr:graphicFrame>
      <xdr:nvGraphicFramePr>
        <xdr:cNvPr id="15685648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10.0"/>
    <col customWidth="1" min="3" max="6" width="18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3" ht="27.75" customHeight="1">
      <c r="A3" s="4" t="s">
        <v>1</v>
      </c>
      <c r="B3" s="5" t="s">
        <v>2</v>
      </c>
    </row>
    <row r="4" ht="27.75" customHeight="1">
      <c r="A4" s="4" t="s">
        <v>3</v>
      </c>
      <c r="B4" s="5" t="s">
        <v>4</v>
      </c>
    </row>
    <row r="5" ht="27.75" customHeight="1">
      <c r="A5" s="4" t="s">
        <v>5</v>
      </c>
      <c r="B5" s="5" t="s">
        <v>6</v>
      </c>
    </row>
    <row r="6" ht="27.75" customHeight="1">
      <c r="A6" s="4" t="s">
        <v>7</v>
      </c>
      <c r="B6" s="5" t="s">
        <v>8</v>
      </c>
    </row>
    <row r="7" ht="27.75" customHeight="1">
      <c r="A7" s="4" t="s">
        <v>9</v>
      </c>
      <c r="B7" s="5" t="s">
        <v>10</v>
      </c>
    </row>
    <row r="8" ht="27.75" customHeight="1">
      <c r="A8" s="4" t="s">
        <v>11</v>
      </c>
      <c r="B8" s="5" t="s">
        <v>12</v>
      </c>
    </row>
    <row r="9" ht="27.75" customHeight="1">
      <c r="A9" s="4" t="s">
        <v>13</v>
      </c>
      <c r="B9" s="5" t="s">
        <v>14</v>
      </c>
    </row>
    <row r="10">
      <c r="A10" s="4" t="s">
        <v>15</v>
      </c>
      <c r="B10" s="5" t="s">
        <v>16</v>
      </c>
    </row>
    <row r="11">
      <c r="A11" s="4" t="s">
        <v>17</v>
      </c>
      <c r="B11" s="5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6.0"/>
    <col customWidth="1" min="3" max="10" width="16.0"/>
    <col customWidth="1" min="11" max="11" width="8.71"/>
    <col customWidth="1" min="12" max="13" width="16.0"/>
    <col customWidth="1" min="14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3"/>
    </row>
    <row r="2">
      <c r="L2" s="7" t="s">
        <v>20</v>
      </c>
    </row>
    <row r="3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</row>
    <row r="4">
      <c r="A4" s="9" t="s">
        <v>31</v>
      </c>
      <c r="B4" s="9" t="s">
        <v>32</v>
      </c>
      <c r="C4" s="10">
        <f>COUNTA('10_Wallet_Setup'!$A:$A)-2</f>
        <v>6</v>
      </c>
      <c r="D4" s="10">
        <f>COUNTIF('10_Wallet_Setup'!$L:$L,"Pass")</f>
        <v>0</v>
      </c>
      <c r="E4" s="10">
        <f>COUNTIF('10_Wallet_Setup'!$L:$L,"Fail")</f>
        <v>0</v>
      </c>
      <c r="F4" s="10">
        <f>COUNTIF('10_Wallet_Setup'!$L:$L,"Blocked")</f>
        <v>0</v>
      </c>
      <c r="G4" s="10">
        <f>COUNTIF('10_Wallet_Setup'!$L:$L,"Not Run")</f>
        <v>6</v>
      </c>
      <c r="H4" s="10">
        <f t="shared" ref="H4:H10" si="1">SUM(D4:F4)</f>
        <v>0</v>
      </c>
      <c r="I4" s="11">
        <f t="shared" ref="I4:I11" si="2">IF(C4=0,0,H4/C4)</f>
        <v>0</v>
      </c>
      <c r="J4" s="11">
        <f t="shared" ref="J4:J11" si="3">IF(H4=0,0,D4/H4)</f>
        <v>0</v>
      </c>
      <c r="L4" s="12" t="s">
        <v>23</v>
      </c>
      <c r="M4" s="13">
        <f>C11</f>
        <v>43</v>
      </c>
    </row>
    <row r="5">
      <c r="A5" s="9" t="s">
        <v>33</v>
      </c>
      <c r="B5" s="9" t="s">
        <v>34</v>
      </c>
      <c r="C5" s="10">
        <f>COUNTA('20_Backup_Recovery'!$A:$A)-2</f>
        <v>7</v>
      </c>
      <c r="D5" s="10">
        <f>COUNTIF('20_Backup_Recovery'!$L:$L,"Pass")</f>
        <v>0</v>
      </c>
      <c r="E5" s="10">
        <f>COUNTIF('20_Backup_Recovery'!$L:$L,"Fail")</f>
        <v>0</v>
      </c>
      <c r="F5" s="10">
        <f>COUNTIF('20_Backup_Recovery'!$L:$L,"Blocked")</f>
        <v>0</v>
      </c>
      <c r="G5" s="10">
        <f>COUNTIF('20_Backup_Recovery'!$L:$L,"Not Run")</f>
        <v>7</v>
      </c>
      <c r="H5" s="10">
        <f t="shared" si="1"/>
        <v>0</v>
      </c>
      <c r="I5" s="11">
        <f t="shared" si="2"/>
        <v>0</v>
      </c>
      <c r="J5" s="11">
        <f t="shared" si="3"/>
        <v>0</v>
      </c>
      <c r="L5" s="12" t="s">
        <v>28</v>
      </c>
      <c r="M5" s="13">
        <f>H11</f>
        <v>0</v>
      </c>
    </row>
    <row r="6">
      <c r="A6" s="9" t="s">
        <v>35</v>
      </c>
      <c r="B6" s="9" t="s">
        <v>36</v>
      </c>
      <c r="C6" s="10">
        <f>COUNTA('30_Security_Access'!$A:$A)-2</f>
        <v>6</v>
      </c>
      <c r="D6" s="10">
        <f>COUNTIF('30_Security_Access'!$L:$L,"Pass")</f>
        <v>0</v>
      </c>
      <c r="E6" s="10">
        <f>COUNTIF('30_Security_Access'!$L:$L,"Fail")</f>
        <v>0</v>
      </c>
      <c r="F6" s="10">
        <f>COUNTIF('30_Security_Access'!$L:$L,"Blocked")</f>
        <v>0</v>
      </c>
      <c r="G6" s="10">
        <f>COUNTIF('30_Security_Access'!$L:$L,"Not Run")</f>
        <v>6</v>
      </c>
      <c r="H6" s="10">
        <f t="shared" si="1"/>
        <v>0</v>
      </c>
      <c r="I6" s="11">
        <f t="shared" si="2"/>
        <v>0</v>
      </c>
      <c r="J6" s="11">
        <f t="shared" si="3"/>
        <v>0</v>
      </c>
      <c r="L6" s="12" t="s">
        <v>24</v>
      </c>
      <c r="M6" s="13">
        <f>D11</f>
        <v>0</v>
      </c>
    </row>
    <row r="7">
      <c r="A7" s="9" t="s">
        <v>37</v>
      </c>
      <c r="B7" s="9" t="s">
        <v>38</v>
      </c>
      <c r="C7" s="10">
        <f>COUNTA('40_Assets_Networks'!$A:$A)-2</f>
        <v>6</v>
      </c>
      <c r="D7" s="10">
        <f>COUNTIF('40_Assets_Networks'!$L:$L,"Pass")</f>
        <v>0</v>
      </c>
      <c r="E7" s="10">
        <f>COUNTIF('40_Assets_Networks'!$L:$L,"Fail")</f>
        <v>0</v>
      </c>
      <c r="F7" s="10">
        <f>COUNTIF('40_Assets_Networks'!$L:$L,"Blocked")</f>
        <v>0</v>
      </c>
      <c r="G7" s="10">
        <f>COUNTIF('40_Assets_Networks'!$L:$L,"Not Run")</f>
        <v>6</v>
      </c>
      <c r="H7" s="10">
        <f t="shared" si="1"/>
        <v>0</v>
      </c>
      <c r="I7" s="11">
        <f t="shared" si="2"/>
        <v>0</v>
      </c>
      <c r="J7" s="11">
        <f t="shared" si="3"/>
        <v>0</v>
      </c>
      <c r="L7" s="12" t="s">
        <v>25</v>
      </c>
      <c r="M7" s="13">
        <f>E11</f>
        <v>0</v>
      </c>
    </row>
    <row r="8">
      <c r="A8" s="9" t="s">
        <v>39</v>
      </c>
      <c r="B8" s="9" t="s">
        <v>40</v>
      </c>
      <c r="C8" s="10">
        <f>COUNTA('50_Send_Receive'!$A:$A)-2</f>
        <v>7</v>
      </c>
      <c r="D8" s="10">
        <f>COUNTIF('50_Send_Receive'!$L:$L,"Pass")</f>
        <v>0</v>
      </c>
      <c r="E8" s="10">
        <f>COUNTIF('50_Send_Receive'!$L:$L,"Fail")</f>
        <v>0</v>
      </c>
      <c r="F8" s="10">
        <f>COUNTIF('50_Send_Receive'!$L:$L,"Blocked")</f>
        <v>0</v>
      </c>
      <c r="G8" s="10">
        <f>COUNTIF('50_Send_Receive'!$L:$L,"Not Run")</f>
        <v>7</v>
      </c>
      <c r="H8" s="10">
        <f t="shared" si="1"/>
        <v>0</v>
      </c>
      <c r="I8" s="11">
        <f t="shared" si="2"/>
        <v>0</v>
      </c>
      <c r="J8" s="11">
        <f t="shared" si="3"/>
        <v>0</v>
      </c>
      <c r="L8" s="12" t="s">
        <v>26</v>
      </c>
      <c r="M8" s="13">
        <f>F11</f>
        <v>0</v>
      </c>
    </row>
    <row r="9">
      <c r="A9" s="9" t="s">
        <v>41</v>
      </c>
      <c r="B9" s="9" t="s">
        <v>42</v>
      </c>
      <c r="C9" s="10">
        <f>COUNTA('60_DApp_Signing'!$A:$A)-2</f>
        <v>6</v>
      </c>
      <c r="D9" s="10">
        <f>COUNTIF('60_DApp_Signing'!$L:$L,"Pass")</f>
        <v>0</v>
      </c>
      <c r="E9" s="10">
        <f>COUNTIF('60_DApp_Signing'!$L:$L,"Fail")</f>
        <v>0</v>
      </c>
      <c r="F9" s="10">
        <f>COUNTIF('60_DApp_Signing'!$L:$L,"Blocked")</f>
        <v>0</v>
      </c>
      <c r="G9" s="10">
        <f>COUNTIF('60_DApp_Signing'!$L:$L,"Not Run")</f>
        <v>6</v>
      </c>
      <c r="H9" s="10">
        <f t="shared" si="1"/>
        <v>0</v>
      </c>
      <c r="I9" s="11">
        <f t="shared" si="2"/>
        <v>0</v>
      </c>
      <c r="J9" s="11">
        <f t="shared" si="3"/>
        <v>0</v>
      </c>
      <c r="L9" s="12" t="s">
        <v>27</v>
      </c>
      <c r="M9" s="13">
        <f>G11</f>
        <v>43</v>
      </c>
    </row>
    <row r="10">
      <c r="A10" s="9" t="s">
        <v>43</v>
      </c>
      <c r="B10" s="9" t="s">
        <v>44</v>
      </c>
      <c r="C10" s="10">
        <f>COUNTA('70_E2E'!$A:$A)-2</f>
        <v>5</v>
      </c>
      <c r="D10" s="10">
        <f>COUNTIF('70_E2E'!$L:$L,"Pass")</f>
        <v>0</v>
      </c>
      <c r="E10" s="10">
        <f>COUNTIF('70_E2E'!$L:$L,"Fail")</f>
        <v>0</v>
      </c>
      <c r="F10" s="10">
        <f>COUNTIF('70_E2E'!$L:$L,"Blocked")</f>
        <v>0</v>
      </c>
      <c r="G10" s="10">
        <f>COUNTIF('70_E2E'!$L:$L,"Not Run")</f>
        <v>5</v>
      </c>
      <c r="H10" s="10">
        <f t="shared" si="1"/>
        <v>0</v>
      </c>
      <c r="I10" s="11">
        <f t="shared" si="2"/>
        <v>0</v>
      </c>
      <c r="J10" s="11">
        <f t="shared" si="3"/>
        <v>0</v>
      </c>
      <c r="L10" s="12" t="s">
        <v>30</v>
      </c>
      <c r="M10" s="14">
        <f>J11</f>
        <v>0</v>
      </c>
    </row>
    <row r="11">
      <c r="A11" s="15" t="s">
        <v>45</v>
      </c>
      <c r="B11" s="15" t="s">
        <v>46</v>
      </c>
      <c r="C11" s="15">
        <f t="shared" ref="C11:H11" si="4">SUM(C4:C10)</f>
        <v>43</v>
      </c>
      <c r="D11" s="15">
        <f t="shared" si="4"/>
        <v>0</v>
      </c>
      <c r="E11" s="15">
        <f t="shared" si="4"/>
        <v>0</v>
      </c>
      <c r="F11" s="15">
        <f t="shared" si="4"/>
        <v>0</v>
      </c>
      <c r="G11" s="15">
        <f t="shared" si="4"/>
        <v>43</v>
      </c>
      <c r="H11" s="15">
        <f t="shared" si="4"/>
        <v>0</v>
      </c>
      <c r="I11" s="16">
        <f t="shared" si="2"/>
        <v>0</v>
      </c>
      <c r="J11" s="16">
        <f t="shared" si="3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62</v>
      </c>
      <c r="B3" s="19" t="s">
        <v>32</v>
      </c>
      <c r="C3" s="19" t="s">
        <v>63</v>
      </c>
      <c r="D3" s="19" t="s">
        <v>64</v>
      </c>
      <c r="E3" s="19" t="s">
        <v>65</v>
      </c>
      <c r="F3" s="19" t="s">
        <v>66</v>
      </c>
      <c r="G3" s="19" t="s">
        <v>67</v>
      </c>
      <c r="H3" s="19" t="s">
        <v>68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71</v>
      </c>
      <c r="B4" s="19" t="s">
        <v>32</v>
      </c>
      <c r="C4" s="19" t="s">
        <v>72</v>
      </c>
      <c r="D4" s="19" t="s">
        <v>73</v>
      </c>
      <c r="E4" s="19" t="s">
        <v>74</v>
      </c>
      <c r="F4" s="19" t="s">
        <v>75</v>
      </c>
      <c r="G4" s="19" t="s">
        <v>76</v>
      </c>
      <c r="H4" s="19" t="s">
        <v>77</v>
      </c>
      <c r="I4" s="19" t="s">
        <v>69</v>
      </c>
      <c r="J4" s="19" t="s">
        <v>70</v>
      </c>
      <c r="K4" s="20"/>
      <c r="L4" s="21" t="s">
        <v>27</v>
      </c>
      <c r="M4" s="20"/>
      <c r="N4" s="22"/>
      <c r="O4" s="20"/>
    </row>
    <row r="5" ht="48.0" customHeight="1">
      <c r="A5" s="18" t="s">
        <v>78</v>
      </c>
      <c r="B5" s="19" t="s">
        <v>32</v>
      </c>
      <c r="C5" s="19" t="s">
        <v>79</v>
      </c>
      <c r="D5" s="19" t="s">
        <v>80</v>
      </c>
      <c r="E5" s="19" t="s">
        <v>81</v>
      </c>
      <c r="F5" s="19" t="s">
        <v>82</v>
      </c>
      <c r="G5" s="19" t="s">
        <v>83</v>
      </c>
      <c r="H5" s="19" t="s">
        <v>84</v>
      </c>
      <c r="I5" s="19" t="s">
        <v>69</v>
      </c>
      <c r="J5" s="19" t="s">
        <v>85</v>
      </c>
      <c r="K5" s="20"/>
      <c r="L5" s="21" t="s">
        <v>27</v>
      </c>
      <c r="M5" s="20"/>
      <c r="N5" s="22"/>
      <c r="O5" s="20"/>
    </row>
    <row r="6" ht="48.0" customHeight="1">
      <c r="A6" s="18" t="s">
        <v>86</v>
      </c>
      <c r="B6" s="19" t="s">
        <v>32</v>
      </c>
      <c r="C6" s="19" t="s">
        <v>87</v>
      </c>
      <c r="D6" s="19" t="s">
        <v>88</v>
      </c>
      <c r="E6" s="19" t="s">
        <v>89</v>
      </c>
      <c r="F6" s="19" t="s">
        <v>90</v>
      </c>
      <c r="G6" s="19" t="s">
        <v>91</v>
      </c>
      <c r="H6" s="19" t="s">
        <v>92</v>
      </c>
      <c r="I6" s="19" t="s">
        <v>93</v>
      </c>
      <c r="J6" s="19" t="s">
        <v>70</v>
      </c>
      <c r="K6" s="20"/>
      <c r="L6" s="21" t="s">
        <v>27</v>
      </c>
      <c r="M6" s="20"/>
      <c r="N6" s="22"/>
      <c r="O6" s="20"/>
    </row>
    <row r="7" ht="48.0" customHeight="1">
      <c r="A7" s="18" t="s">
        <v>94</v>
      </c>
      <c r="B7" s="19" t="s">
        <v>32</v>
      </c>
      <c r="C7" s="19" t="s">
        <v>95</v>
      </c>
      <c r="D7" s="19" t="s">
        <v>96</v>
      </c>
      <c r="E7" s="19" t="s">
        <v>97</v>
      </c>
      <c r="F7" s="19" t="s">
        <v>98</v>
      </c>
      <c r="G7" s="19" t="s">
        <v>99</v>
      </c>
      <c r="H7" s="19" t="s">
        <v>100</v>
      </c>
      <c r="I7" s="19" t="s">
        <v>69</v>
      </c>
      <c r="J7" s="19" t="s">
        <v>85</v>
      </c>
      <c r="K7" s="20"/>
      <c r="L7" s="21" t="s">
        <v>27</v>
      </c>
      <c r="M7" s="20"/>
      <c r="N7" s="22"/>
      <c r="O7" s="20"/>
    </row>
    <row r="8" ht="48.0" customHeight="1">
      <c r="A8" s="18" t="s">
        <v>101</v>
      </c>
      <c r="B8" s="19" t="s">
        <v>32</v>
      </c>
      <c r="C8" s="19" t="s">
        <v>102</v>
      </c>
      <c r="D8" s="19" t="s">
        <v>103</v>
      </c>
      <c r="E8" s="19" t="s">
        <v>104</v>
      </c>
      <c r="F8" s="19" t="s">
        <v>105</v>
      </c>
      <c r="G8" s="19" t="s">
        <v>106</v>
      </c>
      <c r="H8" s="19" t="s">
        <v>107</v>
      </c>
      <c r="I8" s="19" t="s">
        <v>93</v>
      </c>
      <c r="J8" s="19" t="s">
        <v>85</v>
      </c>
      <c r="K8" s="20"/>
      <c r="L8" s="21" t="s">
        <v>27</v>
      </c>
      <c r="M8" s="20"/>
      <c r="N8" s="22"/>
      <c r="O8" s="20"/>
    </row>
    <row r="9" ht="48.0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20"/>
      <c r="L9" s="21"/>
      <c r="M9" s="20"/>
      <c r="N9" s="22"/>
      <c r="O9" s="20"/>
    </row>
    <row r="10" ht="48.0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0"/>
      <c r="N10" s="22"/>
      <c r="O10" s="20"/>
    </row>
    <row r="11" ht="48.0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21"/>
      <c r="M11" s="20"/>
      <c r="N11" s="22"/>
      <c r="O11" s="20"/>
    </row>
    <row r="12" ht="48.0" customHeight="1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1"/>
      <c r="M12" s="20"/>
      <c r="N12" s="22"/>
      <c r="O12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L3:L1000">
    <cfRule type="cellIs" dxfId="0" priority="1" operator="equal">
      <formula>"Pass"</formula>
    </cfRule>
  </conditionalFormatting>
  <conditionalFormatting sqref="L3:L1000">
    <cfRule type="cellIs" dxfId="1" priority="2" operator="equal">
      <formula>"Fail"</formula>
    </cfRule>
  </conditionalFormatting>
  <conditionalFormatting sqref="L3:L1000">
    <cfRule type="cellIs" dxfId="2" priority="3" operator="equal">
      <formula>"Blocked"</formula>
    </cfRule>
  </conditionalFormatting>
  <conditionalFormatting sqref="L3:L1000">
    <cfRule type="cellIs" dxfId="3" priority="4" operator="equal">
      <formula>"Not Run"</formula>
    </cfRule>
  </conditionalFormatting>
  <dataValidations>
    <dataValidation type="list" allowBlank="1" sqref="L3:L8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109</v>
      </c>
      <c r="B3" s="19" t="s">
        <v>34</v>
      </c>
      <c r="C3" s="19" t="s">
        <v>110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116</v>
      </c>
      <c r="B4" s="19" t="s">
        <v>34</v>
      </c>
      <c r="C4" s="19" t="s">
        <v>117</v>
      </c>
      <c r="D4" s="19" t="s">
        <v>118</v>
      </c>
      <c r="E4" s="19" t="s">
        <v>119</v>
      </c>
      <c r="F4" s="19" t="s">
        <v>120</v>
      </c>
      <c r="G4" s="19" t="s">
        <v>121</v>
      </c>
      <c r="H4" s="19" t="s">
        <v>122</v>
      </c>
      <c r="I4" s="19" t="s">
        <v>93</v>
      </c>
      <c r="J4" s="19" t="s">
        <v>70</v>
      </c>
      <c r="K4" s="20"/>
      <c r="L4" s="21" t="s">
        <v>27</v>
      </c>
      <c r="M4" s="20"/>
      <c r="N4" s="22"/>
      <c r="O4" s="20"/>
    </row>
    <row r="5" ht="48.0" customHeight="1">
      <c r="A5" s="18" t="s">
        <v>123</v>
      </c>
      <c r="B5" s="19" t="s">
        <v>34</v>
      </c>
      <c r="C5" s="19" t="s">
        <v>124</v>
      </c>
      <c r="D5" s="19" t="s">
        <v>125</v>
      </c>
      <c r="E5" s="19" t="s">
        <v>126</v>
      </c>
      <c r="F5" s="19" t="s">
        <v>127</v>
      </c>
      <c r="G5" s="19" t="s">
        <v>128</v>
      </c>
      <c r="H5" s="19" t="s">
        <v>129</v>
      </c>
      <c r="I5" s="19" t="s">
        <v>69</v>
      </c>
      <c r="J5" s="19" t="s">
        <v>70</v>
      </c>
      <c r="K5" s="20"/>
      <c r="L5" s="21" t="s">
        <v>27</v>
      </c>
      <c r="M5" s="20"/>
      <c r="N5" s="22"/>
      <c r="O5" s="20"/>
    </row>
    <row r="6" ht="48.0" customHeight="1">
      <c r="A6" s="18" t="s">
        <v>130</v>
      </c>
      <c r="B6" s="19" t="s">
        <v>34</v>
      </c>
      <c r="C6" s="19" t="s">
        <v>131</v>
      </c>
      <c r="D6" s="19" t="s">
        <v>132</v>
      </c>
      <c r="E6" s="19" t="s">
        <v>133</v>
      </c>
      <c r="F6" s="19" t="s">
        <v>134</v>
      </c>
      <c r="G6" s="19" t="s">
        <v>135</v>
      </c>
      <c r="H6" s="19" t="s">
        <v>136</v>
      </c>
      <c r="I6" s="19" t="s">
        <v>69</v>
      </c>
      <c r="J6" s="19" t="s">
        <v>85</v>
      </c>
      <c r="K6" s="20"/>
      <c r="L6" s="21" t="s">
        <v>27</v>
      </c>
      <c r="M6" s="20"/>
      <c r="N6" s="22"/>
      <c r="O6" s="20"/>
    </row>
    <row r="7" ht="48.0" customHeight="1">
      <c r="A7" s="18" t="s">
        <v>137</v>
      </c>
      <c r="B7" s="19" t="s">
        <v>34</v>
      </c>
      <c r="C7" s="19" t="s">
        <v>138</v>
      </c>
      <c r="D7" s="19" t="s">
        <v>139</v>
      </c>
      <c r="E7" s="19" t="s">
        <v>140</v>
      </c>
      <c r="F7" s="19" t="s">
        <v>141</v>
      </c>
      <c r="G7" s="19" t="s">
        <v>142</v>
      </c>
      <c r="H7" s="19" t="s">
        <v>143</v>
      </c>
      <c r="I7" s="19" t="s">
        <v>69</v>
      </c>
      <c r="J7" s="19" t="s">
        <v>85</v>
      </c>
      <c r="K7" s="20"/>
      <c r="L7" s="21" t="s">
        <v>27</v>
      </c>
      <c r="M7" s="20"/>
      <c r="N7" s="22"/>
      <c r="O7" s="20"/>
    </row>
    <row r="8" ht="48.0" customHeight="1">
      <c r="A8" s="18" t="s">
        <v>144</v>
      </c>
      <c r="B8" s="19" t="s">
        <v>34</v>
      </c>
      <c r="C8" s="19" t="s">
        <v>145</v>
      </c>
      <c r="D8" s="19" t="s">
        <v>146</v>
      </c>
      <c r="E8" s="19" t="s">
        <v>147</v>
      </c>
      <c r="F8" s="19" t="s">
        <v>148</v>
      </c>
      <c r="G8" s="19" t="s">
        <v>149</v>
      </c>
      <c r="H8" s="19" t="s">
        <v>150</v>
      </c>
      <c r="I8" s="19" t="s">
        <v>93</v>
      </c>
      <c r="J8" s="19" t="s">
        <v>85</v>
      </c>
      <c r="K8" s="20"/>
      <c r="L8" s="21" t="s">
        <v>27</v>
      </c>
      <c r="M8" s="20"/>
      <c r="N8" s="22"/>
      <c r="O8" s="20"/>
    </row>
    <row r="9" ht="48.0" customHeight="1">
      <c r="A9" s="18" t="s">
        <v>151</v>
      </c>
      <c r="B9" s="19" t="s">
        <v>34</v>
      </c>
      <c r="C9" s="19" t="s">
        <v>152</v>
      </c>
      <c r="D9" s="19" t="s">
        <v>153</v>
      </c>
      <c r="E9" s="19" t="s">
        <v>154</v>
      </c>
      <c r="F9" s="19" t="s">
        <v>155</v>
      </c>
      <c r="G9" s="19" t="s">
        <v>156</v>
      </c>
      <c r="H9" s="19" t="s">
        <v>157</v>
      </c>
      <c r="I9" s="19" t="s">
        <v>93</v>
      </c>
      <c r="J9" s="19" t="s">
        <v>85</v>
      </c>
      <c r="K9" s="20"/>
      <c r="L9" s="21" t="s">
        <v>27</v>
      </c>
      <c r="M9" s="20"/>
      <c r="N9" s="22"/>
      <c r="O9" s="20"/>
    </row>
    <row r="10" ht="48.0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0"/>
      <c r="N10" s="22"/>
      <c r="O10" s="20"/>
    </row>
    <row r="11" ht="48.0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21"/>
      <c r="M11" s="20"/>
      <c r="N11" s="22"/>
      <c r="O11" s="20"/>
    </row>
    <row r="12" ht="48.0" customHeight="1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1"/>
      <c r="M12" s="20"/>
      <c r="N12" s="22"/>
      <c r="O12" s="20"/>
    </row>
    <row r="13" ht="48.0" customHeight="1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20"/>
      <c r="L13" s="21"/>
      <c r="M13" s="20"/>
      <c r="N13" s="22"/>
      <c r="O13" s="20"/>
    </row>
    <row r="14" ht="48.0" customHeight="1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20"/>
      <c r="L14" s="21"/>
      <c r="M14" s="20"/>
      <c r="N14" s="22"/>
      <c r="O14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L3:L1000">
    <cfRule type="cellIs" dxfId="0" priority="1" operator="equal">
      <formula>"Pass"</formula>
    </cfRule>
  </conditionalFormatting>
  <conditionalFormatting sqref="L3:L1000">
    <cfRule type="cellIs" dxfId="1" priority="2" operator="equal">
      <formula>"Fail"</formula>
    </cfRule>
  </conditionalFormatting>
  <conditionalFormatting sqref="L3:L1000">
    <cfRule type="cellIs" dxfId="2" priority="3" operator="equal">
      <formula>"Blocked"</formula>
    </cfRule>
  </conditionalFormatting>
  <conditionalFormatting sqref="L3:L1000">
    <cfRule type="cellIs" dxfId="3" priority="4" operator="equal">
      <formula>"Not Run"</formula>
    </cfRule>
  </conditionalFormatting>
  <dataValidations>
    <dataValidation type="list" allowBlank="1" sqref="L3:L9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159</v>
      </c>
      <c r="B3" s="19" t="s">
        <v>36</v>
      </c>
      <c r="C3" s="19" t="s">
        <v>160</v>
      </c>
      <c r="D3" s="19" t="s">
        <v>161</v>
      </c>
      <c r="E3" s="19" t="s">
        <v>162</v>
      </c>
      <c r="F3" s="19" t="s">
        <v>163</v>
      </c>
      <c r="G3" s="19" t="s">
        <v>164</v>
      </c>
      <c r="H3" s="19" t="s">
        <v>165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166</v>
      </c>
      <c r="B4" s="19" t="s">
        <v>36</v>
      </c>
      <c r="C4" s="19" t="s">
        <v>167</v>
      </c>
      <c r="D4" s="19" t="s">
        <v>168</v>
      </c>
      <c r="E4" s="19" t="s">
        <v>169</v>
      </c>
      <c r="F4" s="19" t="s">
        <v>170</v>
      </c>
      <c r="G4" s="19" t="s">
        <v>171</v>
      </c>
      <c r="H4" s="19" t="s">
        <v>172</v>
      </c>
      <c r="I4" s="19" t="s">
        <v>93</v>
      </c>
      <c r="J4" s="19" t="s">
        <v>70</v>
      </c>
      <c r="K4" s="20"/>
      <c r="L4" s="21" t="s">
        <v>27</v>
      </c>
      <c r="M4" s="20"/>
      <c r="N4" s="22"/>
      <c r="O4" s="20"/>
    </row>
    <row r="5" ht="48.0" customHeight="1">
      <c r="A5" s="18" t="s">
        <v>173</v>
      </c>
      <c r="B5" s="19" t="s">
        <v>36</v>
      </c>
      <c r="C5" s="19" t="s">
        <v>174</v>
      </c>
      <c r="D5" s="19" t="s">
        <v>175</v>
      </c>
      <c r="E5" s="19" t="s">
        <v>176</v>
      </c>
      <c r="F5" s="19" t="s">
        <v>177</v>
      </c>
      <c r="G5" s="19" t="s">
        <v>178</v>
      </c>
      <c r="H5" s="19" t="s">
        <v>179</v>
      </c>
      <c r="I5" s="19" t="s">
        <v>93</v>
      </c>
      <c r="J5" s="19" t="s">
        <v>85</v>
      </c>
      <c r="K5" s="20"/>
      <c r="L5" s="21" t="s">
        <v>27</v>
      </c>
      <c r="M5" s="20"/>
      <c r="N5" s="22"/>
      <c r="O5" s="20"/>
    </row>
    <row r="6" ht="48.0" customHeight="1">
      <c r="A6" s="18" t="s">
        <v>180</v>
      </c>
      <c r="B6" s="19" t="s">
        <v>36</v>
      </c>
      <c r="C6" s="19" t="s">
        <v>181</v>
      </c>
      <c r="D6" s="19" t="s">
        <v>182</v>
      </c>
      <c r="E6" s="19" t="s">
        <v>183</v>
      </c>
      <c r="F6" s="19" t="s">
        <v>184</v>
      </c>
      <c r="G6" s="19" t="s">
        <v>185</v>
      </c>
      <c r="H6" s="19" t="s">
        <v>186</v>
      </c>
      <c r="I6" s="19" t="s">
        <v>69</v>
      </c>
      <c r="J6" s="19" t="s">
        <v>85</v>
      </c>
      <c r="K6" s="20"/>
      <c r="L6" s="21" t="s">
        <v>27</v>
      </c>
      <c r="M6" s="20"/>
      <c r="N6" s="22"/>
      <c r="O6" s="20"/>
    </row>
    <row r="7" ht="48.0" customHeight="1">
      <c r="A7" s="18" t="s">
        <v>187</v>
      </c>
      <c r="B7" s="19" t="s">
        <v>36</v>
      </c>
      <c r="C7" s="19" t="s">
        <v>188</v>
      </c>
      <c r="D7" s="19" t="s">
        <v>189</v>
      </c>
      <c r="E7" s="19" t="s">
        <v>190</v>
      </c>
      <c r="F7" s="19" t="s">
        <v>191</v>
      </c>
      <c r="G7" s="19" t="s">
        <v>192</v>
      </c>
      <c r="H7" s="19" t="s">
        <v>193</v>
      </c>
      <c r="I7" s="19" t="s">
        <v>69</v>
      </c>
      <c r="J7" s="19" t="s">
        <v>85</v>
      </c>
      <c r="K7" s="20"/>
      <c r="L7" s="21" t="s">
        <v>27</v>
      </c>
      <c r="M7" s="20"/>
      <c r="N7" s="22"/>
      <c r="O7" s="20"/>
    </row>
    <row r="8" ht="48.0" customHeight="1">
      <c r="A8" s="18" t="s">
        <v>194</v>
      </c>
      <c r="B8" s="19" t="s">
        <v>36</v>
      </c>
      <c r="C8" s="19" t="s">
        <v>195</v>
      </c>
      <c r="D8" s="19" t="s">
        <v>196</v>
      </c>
      <c r="E8" s="19" t="s">
        <v>197</v>
      </c>
      <c r="F8" s="19" t="s">
        <v>198</v>
      </c>
      <c r="G8" s="19" t="s">
        <v>199</v>
      </c>
      <c r="H8" s="19" t="s">
        <v>200</v>
      </c>
      <c r="I8" s="19" t="s">
        <v>93</v>
      </c>
      <c r="J8" s="19" t="s">
        <v>85</v>
      </c>
      <c r="K8" s="20"/>
      <c r="L8" s="21" t="s">
        <v>27</v>
      </c>
      <c r="M8" s="20"/>
      <c r="N8" s="22"/>
      <c r="O8" s="20"/>
    </row>
    <row r="9" ht="48.0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20"/>
      <c r="L9" s="21"/>
      <c r="M9" s="20"/>
      <c r="N9" s="22"/>
      <c r="O9" s="20"/>
    </row>
    <row r="10" ht="48.0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0"/>
      <c r="N10" s="22"/>
      <c r="O1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L3:L1000">
    <cfRule type="cellIs" dxfId="0" priority="1" operator="equal">
      <formula>"Pass"</formula>
    </cfRule>
  </conditionalFormatting>
  <conditionalFormatting sqref="L3:L1000">
    <cfRule type="cellIs" dxfId="1" priority="2" operator="equal">
      <formula>"Fail"</formula>
    </cfRule>
  </conditionalFormatting>
  <conditionalFormatting sqref="L3:L1000">
    <cfRule type="cellIs" dxfId="2" priority="3" operator="equal">
      <formula>"Blocked"</formula>
    </cfRule>
  </conditionalFormatting>
  <conditionalFormatting sqref="L3:L1000">
    <cfRule type="cellIs" dxfId="3" priority="4" operator="equal">
      <formula>"Not Run"</formula>
    </cfRule>
  </conditionalFormatting>
  <dataValidations>
    <dataValidation type="list" allowBlank="1" sqref="L3:L8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202</v>
      </c>
      <c r="B3" s="19" t="s">
        <v>38</v>
      </c>
      <c r="C3" s="19" t="s">
        <v>203</v>
      </c>
      <c r="D3" s="19" t="s">
        <v>204</v>
      </c>
      <c r="E3" s="19" t="s">
        <v>205</v>
      </c>
      <c r="F3" s="19" t="s">
        <v>206</v>
      </c>
      <c r="G3" s="19" t="s">
        <v>207</v>
      </c>
      <c r="H3" s="19" t="s">
        <v>208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209</v>
      </c>
      <c r="B4" s="19" t="s">
        <v>38</v>
      </c>
      <c r="C4" s="19" t="s">
        <v>210</v>
      </c>
      <c r="D4" s="19" t="s">
        <v>211</v>
      </c>
      <c r="E4" s="19" t="s">
        <v>212</v>
      </c>
      <c r="F4" s="19" t="s">
        <v>213</v>
      </c>
      <c r="G4" s="19" t="s">
        <v>214</v>
      </c>
      <c r="H4" s="19" t="s">
        <v>215</v>
      </c>
      <c r="I4" s="19" t="s">
        <v>69</v>
      </c>
      <c r="J4" s="19" t="s">
        <v>70</v>
      </c>
      <c r="K4" s="20"/>
      <c r="L4" s="21" t="s">
        <v>27</v>
      </c>
      <c r="M4" s="20"/>
      <c r="N4" s="22"/>
      <c r="O4" s="20"/>
    </row>
    <row r="5" ht="48.0" customHeight="1">
      <c r="A5" s="18" t="s">
        <v>216</v>
      </c>
      <c r="B5" s="19" t="s">
        <v>38</v>
      </c>
      <c r="C5" s="19" t="s">
        <v>217</v>
      </c>
      <c r="D5" s="19" t="s">
        <v>218</v>
      </c>
      <c r="E5" s="19" t="s">
        <v>212</v>
      </c>
      <c r="F5" s="19" t="s">
        <v>219</v>
      </c>
      <c r="G5" s="19" t="s">
        <v>220</v>
      </c>
      <c r="H5" s="19" t="s">
        <v>221</v>
      </c>
      <c r="I5" s="19" t="s">
        <v>69</v>
      </c>
      <c r="J5" s="19" t="s">
        <v>85</v>
      </c>
      <c r="K5" s="20"/>
      <c r="L5" s="21" t="s">
        <v>27</v>
      </c>
      <c r="M5" s="20"/>
      <c r="N5" s="22"/>
      <c r="O5" s="20"/>
    </row>
    <row r="6" ht="48.0" customHeight="1">
      <c r="A6" s="18" t="s">
        <v>222</v>
      </c>
      <c r="B6" s="19" t="s">
        <v>38</v>
      </c>
      <c r="C6" s="19" t="s">
        <v>223</v>
      </c>
      <c r="D6" s="19" t="s">
        <v>224</v>
      </c>
      <c r="E6" s="19" t="s">
        <v>225</v>
      </c>
      <c r="F6" s="19" t="s">
        <v>226</v>
      </c>
      <c r="G6" s="19" t="s">
        <v>227</v>
      </c>
      <c r="H6" s="19" t="s">
        <v>228</v>
      </c>
      <c r="I6" s="19" t="s">
        <v>93</v>
      </c>
      <c r="J6" s="19" t="s">
        <v>70</v>
      </c>
      <c r="K6" s="20"/>
      <c r="L6" s="21" t="s">
        <v>27</v>
      </c>
      <c r="M6" s="20"/>
      <c r="N6" s="22"/>
      <c r="O6" s="20"/>
    </row>
    <row r="7" ht="48.0" customHeight="1">
      <c r="A7" s="18" t="s">
        <v>229</v>
      </c>
      <c r="B7" s="19" t="s">
        <v>38</v>
      </c>
      <c r="C7" s="19" t="s">
        <v>230</v>
      </c>
      <c r="D7" s="19" t="s">
        <v>231</v>
      </c>
      <c r="E7" s="19" t="s">
        <v>232</v>
      </c>
      <c r="F7" s="19" t="s">
        <v>233</v>
      </c>
      <c r="G7" s="19" t="s">
        <v>234</v>
      </c>
      <c r="H7" s="19" t="s">
        <v>235</v>
      </c>
      <c r="I7" s="19" t="s">
        <v>69</v>
      </c>
      <c r="J7" s="19" t="s">
        <v>70</v>
      </c>
      <c r="K7" s="20"/>
      <c r="L7" s="21" t="s">
        <v>27</v>
      </c>
      <c r="M7" s="20"/>
      <c r="N7" s="22"/>
      <c r="O7" s="20"/>
    </row>
    <row r="8" ht="48.0" customHeight="1">
      <c r="A8" s="18" t="s">
        <v>236</v>
      </c>
      <c r="B8" s="19" t="s">
        <v>38</v>
      </c>
      <c r="C8" s="19" t="s">
        <v>237</v>
      </c>
      <c r="D8" s="19" t="s">
        <v>238</v>
      </c>
      <c r="E8" s="19" t="s">
        <v>239</v>
      </c>
      <c r="F8" s="19" t="s">
        <v>240</v>
      </c>
      <c r="G8" s="19" t="s">
        <v>241</v>
      </c>
      <c r="H8" s="19" t="s">
        <v>242</v>
      </c>
      <c r="I8" s="19" t="s">
        <v>93</v>
      </c>
      <c r="J8" s="19" t="s">
        <v>85</v>
      </c>
      <c r="K8" s="20"/>
      <c r="L8" s="21" t="s">
        <v>27</v>
      </c>
      <c r="M8" s="20"/>
      <c r="N8" s="22"/>
      <c r="O8" s="20"/>
    </row>
    <row r="9" ht="48.0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20"/>
      <c r="L9" s="21"/>
      <c r="M9" s="20"/>
      <c r="N9" s="22"/>
      <c r="O9" s="20"/>
    </row>
    <row r="10" ht="48.0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0"/>
      <c r="N10" s="22"/>
      <c r="O10" s="20"/>
    </row>
    <row r="11" ht="48.0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21"/>
      <c r="M11" s="20"/>
      <c r="N11" s="22"/>
      <c r="O11" s="20"/>
    </row>
    <row r="12" ht="48.0" customHeight="1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1"/>
      <c r="M12" s="20"/>
      <c r="N12" s="22"/>
      <c r="O12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L3:L1000">
    <cfRule type="cellIs" dxfId="0" priority="1" operator="equal">
      <formula>"Pass"</formula>
    </cfRule>
  </conditionalFormatting>
  <conditionalFormatting sqref="L3:L1000">
    <cfRule type="cellIs" dxfId="1" priority="2" operator="equal">
      <formula>"Fail"</formula>
    </cfRule>
  </conditionalFormatting>
  <conditionalFormatting sqref="L3:L1000">
    <cfRule type="cellIs" dxfId="2" priority="3" operator="equal">
      <formula>"Blocked"</formula>
    </cfRule>
  </conditionalFormatting>
  <conditionalFormatting sqref="L3:L1000">
    <cfRule type="cellIs" dxfId="3" priority="4" operator="equal">
      <formula>"Not Run"</formula>
    </cfRule>
  </conditionalFormatting>
  <dataValidations>
    <dataValidation type="list" allowBlank="1" sqref="L3:L8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244</v>
      </c>
      <c r="B3" s="19" t="s">
        <v>40</v>
      </c>
      <c r="C3" s="19" t="s">
        <v>245</v>
      </c>
      <c r="D3" s="19" t="s">
        <v>246</v>
      </c>
      <c r="E3" s="19" t="s">
        <v>247</v>
      </c>
      <c r="F3" s="19" t="s">
        <v>248</v>
      </c>
      <c r="G3" s="19" t="s">
        <v>249</v>
      </c>
      <c r="H3" s="19" t="s">
        <v>250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251</v>
      </c>
      <c r="B4" s="19" t="s">
        <v>40</v>
      </c>
      <c r="C4" s="19" t="s">
        <v>252</v>
      </c>
      <c r="D4" s="19" t="s">
        <v>253</v>
      </c>
      <c r="E4" s="19" t="s">
        <v>254</v>
      </c>
      <c r="F4" s="19" t="s">
        <v>255</v>
      </c>
      <c r="G4" s="19" t="s">
        <v>256</v>
      </c>
      <c r="H4" s="19" t="s">
        <v>257</v>
      </c>
      <c r="I4" s="19" t="s">
        <v>69</v>
      </c>
      <c r="J4" s="19" t="s">
        <v>70</v>
      </c>
      <c r="K4" s="20"/>
      <c r="L4" s="21" t="s">
        <v>27</v>
      </c>
      <c r="M4" s="20"/>
      <c r="N4" s="22"/>
      <c r="O4" s="20"/>
    </row>
    <row r="5" ht="48.0" customHeight="1">
      <c r="A5" s="18" t="s">
        <v>258</v>
      </c>
      <c r="B5" s="19" t="s">
        <v>40</v>
      </c>
      <c r="C5" s="19" t="s">
        <v>259</v>
      </c>
      <c r="D5" s="19" t="s">
        <v>260</v>
      </c>
      <c r="E5" s="19" t="s">
        <v>261</v>
      </c>
      <c r="F5" s="19" t="s">
        <v>262</v>
      </c>
      <c r="G5" s="19" t="s">
        <v>263</v>
      </c>
      <c r="H5" s="19" t="s">
        <v>264</v>
      </c>
      <c r="I5" s="19" t="s">
        <v>69</v>
      </c>
      <c r="J5" s="19" t="s">
        <v>85</v>
      </c>
      <c r="K5" s="20"/>
      <c r="L5" s="21" t="s">
        <v>27</v>
      </c>
      <c r="M5" s="20"/>
      <c r="N5" s="22"/>
      <c r="O5" s="20"/>
    </row>
    <row r="6" ht="48.0" customHeight="1">
      <c r="A6" s="18" t="s">
        <v>265</v>
      </c>
      <c r="B6" s="19" t="s">
        <v>40</v>
      </c>
      <c r="C6" s="19" t="s">
        <v>266</v>
      </c>
      <c r="D6" s="19" t="s">
        <v>267</v>
      </c>
      <c r="E6" s="19" t="s">
        <v>268</v>
      </c>
      <c r="F6" s="19" t="s">
        <v>269</v>
      </c>
      <c r="G6" s="19" t="s">
        <v>270</v>
      </c>
      <c r="H6" s="19" t="s">
        <v>271</v>
      </c>
      <c r="I6" s="19" t="s">
        <v>69</v>
      </c>
      <c r="J6" s="19" t="s">
        <v>85</v>
      </c>
      <c r="K6" s="20"/>
      <c r="L6" s="21" t="s">
        <v>27</v>
      </c>
      <c r="M6" s="20"/>
      <c r="N6" s="22"/>
      <c r="O6" s="20"/>
    </row>
    <row r="7" ht="48.0" customHeight="1">
      <c r="A7" s="18" t="s">
        <v>272</v>
      </c>
      <c r="B7" s="19" t="s">
        <v>40</v>
      </c>
      <c r="C7" s="19" t="s">
        <v>273</v>
      </c>
      <c r="D7" s="19" t="s">
        <v>274</v>
      </c>
      <c r="E7" s="19" t="s">
        <v>275</v>
      </c>
      <c r="F7" s="19" t="s">
        <v>276</v>
      </c>
      <c r="G7" s="19" t="s">
        <v>277</v>
      </c>
      <c r="H7" s="19" t="s">
        <v>278</v>
      </c>
      <c r="I7" s="19" t="s">
        <v>69</v>
      </c>
      <c r="J7" s="19" t="s">
        <v>85</v>
      </c>
      <c r="K7" s="20"/>
      <c r="L7" s="21" t="s">
        <v>27</v>
      </c>
      <c r="M7" s="20"/>
      <c r="N7" s="22"/>
      <c r="O7" s="20"/>
    </row>
    <row r="8" ht="48.0" customHeight="1">
      <c r="A8" s="18" t="s">
        <v>279</v>
      </c>
      <c r="B8" s="19" t="s">
        <v>40</v>
      </c>
      <c r="C8" s="19" t="s">
        <v>280</v>
      </c>
      <c r="D8" s="19" t="s">
        <v>281</v>
      </c>
      <c r="E8" s="19" t="s">
        <v>282</v>
      </c>
      <c r="F8" s="19" t="s">
        <v>283</v>
      </c>
      <c r="G8" s="19" t="s">
        <v>284</v>
      </c>
      <c r="H8" s="19" t="s">
        <v>285</v>
      </c>
      <c r="I8" s="19" t="s">
        <v>69</v>
      </c>
      <c r="J8" s="19" t="s">
        <v>85</v>
      </c>
      <c r="K8" s="20"/>
      <c r="L8" s="21" t="s">
        <v>27</v>
      </c>
      <c r="M8" s="20"/>
      <c r="N8" s="22"/>
      <c r="O8" s="20"/>
    </row>
    <row r="9" ht="48.0" customHeight="1">
      <c r="A9" s="18" t="s">
        <v>286</v>
      </c>
      <c r="B9" s="19" t="s">
        <v>40</v>
      </c>
      <c r="C9" s="19" t="s">
        <v>287</v>
      </c>
      <c r="D9" s="19" t="s">
        <v>288</v>
      </c>
      <c r="E9" s="19" t="s">
        <v>289</v>
      </c>
      <c r="F9" s="19" t="s">
        <v>290</v>
      </c>
      <c r="G9" s="19" t="s">
        <v>291</v>
      </c>
      <c r="H9" s="19" t="s">
        <v>292</v>
      </c>
      <c r="I9" s="19" t="s">
        <v>69</v>
      </c>
      <c r="J9" s="19" t="s">
        <v>70</v>
      </c>
      <c r="K9" s="20"/>
      <c r="L9" s="21" t="s">
        <v>27</v>
      </c>
      <c r="M9" s="20"/>
      <c r="N9" s="22"/>
      <c r="O9" s="20"/>
    </row>
    <row r="10" ht="48.0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  <c r="M10" s="20"/>
      <c r="N10" s="22"/>
      <c r="O10" s="20"/>
    </row>
    <row r="11" ht="48.0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21"/>
      <c r="M11" s="20"/>
      <c r="N11" s="22"/>
      <c r="O11" s="20"/>
    </row>
    <row r="12" ht="48.0" customHeight="1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1"/>
      <c r="M12" s="20"/>
      <c r="N12" s="22"/>
      <c r="O12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L3:L1000">
    <cfRule type="cellIs" dxfId="0" priority="1" operator="equal">
      <formula>"Pass"</formula>
    </cfRule>
  </conditionalFormatting>
  <conditionalFormatting sqref="L3:L1000">
    <cfRule type="cellIs" dxfId="1" priority="2" operator="equal">
      <formula>"Fail"</formula>
    </cfRule>
  </conditionalFormatting>
  <conditionalFormatting sqref="L3:L1000">
    <cfRule type="cellIs" dxfId="2" priority="3" operator="equal">
      <formula>"Blocked"</formula>
    </cfRule>
  </conditionalFormatting>
  <conditionalFormatting sqref="L3:L1000">
    <cfRule type="cellIs" dxfId="3" priority="4" operator="equal">
      <formula>"Not Run"</formula>
    </cfRule>
  </conditionalFormatting>
  <dataValidations>
    <dataValidation type="list" allowBlank="1" sqref="L3:L9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294</v>
      </c>
      <c r="B3" s="19" t="s">
        <v>42</v>
      </c>
      <c r="C3" s="19" t="s">
        <v>295</v>
      </c>
      <c r="D3" s="19" t="s">
        <v>296</v>
      </c>
      <c r="E3" s="19" t="s">
        <v>297</v>
      </c>
      <c r="F3" s="19" t="s">
        <v>298</v>
      </c>
      <c r="G3" s="19" t="s">
        <v>299</v>
      </c>
      <c r="H3" s="19" t="s">
        <v>300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301</v>
      </c>
      <c r="B4" s="19" t="s">
        <v>42</v>
      </c>
      <c r="C4" s="19" t="s">
        <v>302</v>
      </c>
      <c r="D4" s="19" t="s">
        <v>303</v>
      </c>
      <c r="E4" s="19" t="s">
        <v>304</v>
      </c>
      <c r="F4" s="19" t="s">
        <v>305</v>
      </c>
      <c r="G4" s="19" t="s">
        <v>306</v>
      </c>
      <c r="H4" s="19" t="s">
        <v>307</v>
      </c>
      <c r="I4" s="19" t="s">
        <v>93</v>
      </c>
      <c r="J4" s="19" t="s">
        <v>85</v>
      </c>
      <c r="K4" s="20"/>
      <c r="L4" s="21" t="s">
        <v>27</v>
      </c>
      <c r="M4" s="20"/>
      <c r="N4" s="22"/>
      <c r="O4" s="20"/>
    </row>
    <row r="5" ht="48.0" customHeight="1">
      <c r="A5" s="18" t="s">
        <v>308</v>
      </c>
      <c r="B5" s="19" t="s">
        <v>42</v>
      </c>
      <c r="C5" s="19" t="s">
        <v>309</v>
      </c>
      <c r="D5" s="19" t="s">
        <v>310</v>
      </c>
      <c r="E5" s="19" t="s">
        <v>311</v>
      </c>
      <c r="F5" s="19" t="s">
        <v>312</v>
      </c>
      <c r="G5" s="19" t="s">
        <v>313</v>
      </c>
      <c r="H5" s="19" t="s">
        <v>314</v>
      </c>
      <c r="I5" s="19" t="s">
        <v>69</v>
      </c>
      <c r="J5" s="19" t="s">
        <v>70</v>
      </c>
      <c r="K5" s="20"/>
      <c r="L5" s="21" t="s">
        <v>27</v>
      </c>
      <c r="M5" s="20"/>
      <c r="N5" s="22"/>
      <c r="O5" s="20"/>
    </row>
    <row r="6" ht="48.0" customHeight="1">
      <c r="A6" s="18" t="s">
        <v>315</v>
      </c>
      <c r="B6" s="19" t="s">
        <v>42</v>
      </c>
      <c r="C6" s="19" t="s">
        <v>316</v>
      </c>
      <c r="D6" s="19" t="s">
        <v>317</v>
      </c>
      <c r="E6" s="19" t="s">
        <v>318</v>
      </c>
      <c r="F6" s="19" t="s">
        <v>319</v>
      </c>
      <c r="G6" s="19" t="s">
        <v>313</v>
      </c>
      <c r="H6" s="19" t="s">
        <v>320</v>
      </c>
      <c r="I6" s="19" t="s">
        <v>69</v>
      </c>
      <c r="J6" s="19" t="s">
        <v>85</v>
      </c>
      <c r="K6" s="20"/>
      <c r="L6" s="21" t="s">
        <v>27</v>
      </c>
      <c r="M6" s="20"/>
      <c r="N6" s="22"/>
      <c r="O6" s="20"/>
    </row>
    <row r="7" ht="48.0" customHeight="1">
      <c r="A7" s="18" t="s">
        <v>321</v>
      </c>
      <c r="B7" s="19" t="s">
        <v>42</v>
      </c>
      <c r="C7" s="19" t="s">
        <v>322</v>
      </c>
      <c r="D7" s="19" t="s">
        <v>323</v>
      </c>
      <c r="E7" s="19" t="s">
        <v>324</v>
      </c>
      <c r="F7" s="19" t="s">
        <v>325</v>
      </c>
      <c r="G7" s="19" t="s">
        <v>326</v>
      </c>
      <c r="H7" s="19" t="s">
        <v>327</v>
      </c>
      <c r="I7" s="19" t="s">
        <v>69</v>
      </c>
      <c r="J7" s="19" t="s">
        <v>85</v>
      </c>
      <c r="K7" s="20"/>
      <c r="L7" s="21" t="s">
        <v>27</v>
      </c>
      <c r="M7" s="20"/>
      <c r="N7" s="22"/>
      <c r="O7" s="20"/>
    </row>
    <row r="8">
      <c r="A8" s="18" t="s">
        <v>328</v>
      </c>
      <c r="B8" s="19" t="s">
        <v>42</v>
      </c>
      <c r="C8" s="19" t="s">
        <v>329</v>
      </c>
      <c r="D8" s="19" t="s">
        <v>330</v>
      </c>
      <c r="E8" s="19" t="s">
        <v>331</v>
      </c>
      <c r="F8" s="19" t="s">
        <v>332</v>
      </c>
      <c r="G8" s="19" t="s">
        <v>333</v>
      </c>
      <c r="H8" s="19" t="s">
        <v>334</v>
      </c>
      <c r="I8" s="19" t="s">
        <v>93</v>
      </c>
      <c r="J8" s="19" t="s">
        <v>70</v>
      </c>
      <c r="K8" s="20"/>
      <c r="L8" s="21" t="s">
        <v>27</v>
      </c>
      <c r="M8" s="20"/>
      <c r="N8" s="22"/>
      <c r="O8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conditionalFormatting sqref="L3:L1000">
    <cfRule type="cellIs" dxfId="0" priority="1" operator="equal">
      <formula>"Pass"</formula>
    </cfRule>
  </conditionalFormatting>
  <conditionalFormatting sqref="L3:L1000">
    <cfRule type="cellIs" dxfId="1" priority="2" operator="equal">
      <formula>"Fail"</formula>
    </cfRule>
  </conditionalFormatting>
  <conditionalFormatting sqref="L3:L1000">
    <cfRule type="cellIs" dxfId="2" priority="3" operator="equal">
      <formula>"Blocked"</formula>
    </cfRule>
  </conditionalFormatting>
  <conditionalFormatting sqref="L3:L1000">
    <cfRule type="cellIs" dxfId="3" priority="4" operator="equal">
      <formula>"Not Run"</formula>
    </cfRule>
  </conditionalFormatting>
  <dataValidations>
    <dataValidation type="list" allowBlank="1" sqref="L3:L8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8.0"/>
    <col customWidth="1" min="4" max="4" width="32.0"/>
    <col customWidth="1" min="5" max="5" width="28.0"/>
    <col customWidth="1" min="6" max="6" width="48.0"/>
    <col customWidth="1" min="7" max="7" width="24.0"/>
    <col customWidth="1" min="8" max="8" width="38.0"/>
    <col customWidth="1" min="9" max="9" width="10.0"/>
    <col customWidth="1" min="10" max="10" width="12.0"/>
    <col customWidth="1" min="11" max="11" width="28.0"/>
    <col customWidth="1" min="12" max="12" width="12.0"/>
    <col customWidth="1" min="13" max="13" width="14.0"/>
    <col customWidth="1" min="14" max="14" width="13.0"/>
    <col customWidth="1" min="15" max="15" width="24.0"/>
    <col customWidth="1" min="16" max="26" width="8.71"/>
  </cols>
  <sheetData>
    <row r="1" ht="21.75" customHeight="1">
      <c r="A1" s="17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8" t="s">
        <v>48</v>
      </c>
      <c r="B2" s="8" t="s">
        <v>22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 t="s">
        <v>59</v>
      </c>
      <c r="N2" s="8" t="s">
        <v>60</v>
      </c>
      <c r="O2" s="8" t="s">
        <v>61</v>
      </c>
    </row>
    <row r="3" ht="48.0" customHeight="1">
      <c r="A3" s="18" t="s">
        <v>336</v>
      </c>
      <c r="B3" s="19" t="s">
        <v>337</v>
      </c>
      <c r="C3" s="19" t="s">
        <v>338</v>
      </c>
      <c r="D3" s="19" t="s">
        <v>339</v>
      </c>
      <c r="E3" s="19" t="s">
        <v>340</v>
      </c>
      <c r="F3" s="19" t="s">
        <v>341</v>
      </c>
      <c r="G3" s="19" t="s">
        <v>342</v>
      </c>
      <c r="H3" s="19" t="s">
        <v>343</v>
      </c>
      <c r="I3" s="19" t="s">
        <v>69</v>
      </c>
      <c r="J3" s="19" t="s">
        <v>70</v>
      </c>
      <c r="K3" s="20"/>
      <c r="L3" s="21" t="s">
        <v>27</v>
      </c>
      <c r="M3" s="20"/>
      <c r="N3" s="22"/>
      <c r="O3" s="20"/>
    </row>
    <row r="4" ht="48.0" customHeight="1">
      <c r="A4" s="18" t="s">
        <v>344</v>
      </c>
      <c r="B4" s="19" t="s">
        <v>337</v>
      </c>
      <c r="C4" s="19" t="s">
        <v>345</v>
      </c>
      <c r="D4" s="19" t="s">
        <v>346</v>
      </c>
      <c r="E4" s="19" t="s">
        <v>347</v>
      </c>
      <c r="F4" s="19" t="s">
        <v>348</v>
      </c>
      <c r="G4" s="19" t="s">
        <v>349</v>
      </c>
      <c r="H4" s="19" t="s">
        <v>350</v>
      </c>
      <c r="I4" s="19" t="s">
        <v>69</v>
      </c>
      <c r="J4" s="19" t="s">
        <v>70</v>
      </c>
      <c r="K4" s="20"/>
      <c r="L4" s="21" t="s">
        <v>27</v>
      </c>
      <c r="M4" s="20"/>
      <c r="N4" s="22"/>
      <c r="O4" s="20"/>
    </row>
    <row r="5" ht="48.0" customHeight="1">
      <c r="A5" s="18" t="s">
        <v>351</v>
      </c>
      <c r="B5" s="19" t="s">
        <v>337</v>
      </c>
      <c r="C5" s="19" t="s">
        <v>352</v>
      </c>
      <c r="D5" s="19" t="s">
        <v>353</v>
      </c>
      <c r="E5" s="19" t="s">
        <v>354</v>
      </c>
      <c r="F5" s="19" t="s">
        <v>355</v>
      </c>
      <c r="G5" s="19" t="s">
        <v>356</v>
      </c>
      <c r="H5" s="19" t="s">
        <v>357</v>
      </c>
      <c r="I5" s="19" t="s">
        <v>69</v>
      </c>
      <c r="J5" s="19" t="s">
        <v>70</v>
      </c>
      <c r="K5" s="20"/>
      <c r="L5" s="21" t="s">
        <v>27</v>
      </c>
      <c r="M5" s="20"/>
      <c r="N5" s="22"/>
      <c r="O5" s="20"/>
    </row>
    <row r="6" ht="48.0" customHeight="1">
      <c r="A6" s="18" t="s">
        <v>358</v>
      </c>
      <c r="B6" s="19" t="s">
        <v>337</v>
      </c>
      <c r="C6" s="19" t="s">
        <v>359</v>
      </c>
      <c r="D6" s="19" t="s">
        <v>360</v>
      </c>
      <c r="E6" s="19" t="s">
        <v>361</v>
      </c>
      <c r="F6" s="19" t="s">
        <v>362</v>
      </c>
      <c r="G6" s="19" t="s">
        <v>363</v>
      </c>
      <c r="H6" s="19" t="s">
        <v>364</v>
      </c>
      <c r="I6" s="19" t="s">
        <v>69</v>
      </c>
      <c r="J6" s="19" t="s">
        <v>70</v>
      </c>
      <c r="K6" s="20"/>
      <c r="L6" s="21" t="s">
        <v>27</v>
      </c>
      <c r="M6" s="20"/>
      <c r="N6" s="22"/>
      <c r="O6" s="20"/>
    </row>
    <row r="7" ht="48.0" customHeight="1">
      <c r="A7" s="18" t="s">
        <v>365</v>
      </c>
      <c r="B7" s="19" t="s">
        <v>337</v>
      </c>
      <c r="C7" s="19" t="s">
        <v>366</v>
      </c>
      <c r="D7" s="19" t="s">
        <v>367</v>
      </c>
      <c r="E7" s="19" t="s">
        <v>368</v>
      </c>
      <c r="F7" s="19" t="s">
        <v>369</v>
      </c>
      <c r="G7" s="19" t="s">
        <v>277</v>
      </c>
      <c r="H7" s="19" t="s">
        <v>370</v>
      </c>
      <c r="I7" s="19" t="s">
        <v>69</v>
      </c>
      <c r="J7" s="19" t="s">
        <v>85</v>
      </c>
      <c r="K7" s="20"/>
      <c r="L7" s="21" t="s">
        <v>27</v>
      </c>
      <c r="M7" s="20"/>
      <c r="N7" s="22"/>
      <c r="O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O1"/>
  </mergeCells>
  <dataValidations>
    <dataValidation type="list" allowBlank="1" sqref="L3:L7">
      <formula1>"Pass,Fail,Blocked,Not Run"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2026-03-25T03:15:56Z</dcterms:created>
  <dc:creator>openpyxl</dc:creator>
</cp:coreProperties>
</file>